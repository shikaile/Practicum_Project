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Player Info</t>
        </is>
      </c>
      <c r="C1" s="1" t="n"/>
      <c r="D1" s="1" t="inlineStr">
        <is>
          <t>2-Point FG</t>
        </is>
      </c>
      <c r="E1" s="1" t="n"/>
      <c r="F1" s="1" t="inlineStr">
        <is>
          <t>3-Point FG</t>
        </is>
      </c>
      <c r="G1" s="1" t="n"/>
      <c r="H1" s="1" t="inlineStr">
        <is>
          <t>Free Throw</t>
        </is>
      </c>
      <c r="I1" s="1" t="n"/>
      <c r="J1" s="1" t="inlineStr">
        <is>
          <t>Rebounds</t>
        </is>
      </c>
      <c r="K1" s="1" t="n"/>
      <c r="L1" s="1" t="inlineStr">
        <is>
          <t>Box Stats</t>
        </is>
      </c>
      <c r="M1" s="1" t="n"/>
      <c r="N1" s="1" t="n"/>
      <c r="O1" s="1" t="n"/>
      <c r="P1" s="1" t="n"/>
      <c r="Q1" s="1" t="inlineStr">
        <is>
          <t>Calculated Scouting Stats</t>
        </is>
      </c>
      <c r="R1" s="1" t="n"/>
      <c r="S1" s="1" t="n"/>
      <c r="T1" s="1" t="n"/>
      <c r="U1" s="1" t="n"/>
    </row>
    <row r="2">
      <c r="A2" s="1" t="inlineStr"/>
      <c r="B2" s="1" t="inlineStr">
        <is>
          <t>Player</t>
        </is>
      </c>
      <c r="C2" s="1" t="inlineStr">
        <is>
          <t>#</t>
        </is>
      </c>
      <c r="D2" s="1" t="inlineStr">
        <is>
          <t>Att.</t>
        </is>
      </c>
      <c r="E2" s="1" t="inlineStr">
        <is>
          <t>Made</t>
        </is>
      </c>
      <c r="F2" s="1" t="inlineStr">
        <is>
          <t>Att.</t>
        </is>
      </c>
      <c r="G2" s="1" t="inlineStr">
        <is>
          <t>Made</t>
        </is>
      </c>
      <c r="H2" s="1" t="inlineStr">
        <is>
          <t>Att.</t>
        </is>
      </c>
      <c r="I2" s="1" t="inlineStr">
        <is>
          <t>Made</t>
        </is>
      </c>
      <c r="J2" s="1" t="inlineStr">
        <is>
          <t>Off.</t>
        </is>
      </c>
      <c r="K2" s="1" t="inlineStr">
        <is>
          <t>Def.</t>
        </is>
      </c>
      <c r="L2" s="1" t="inlineStr">
        <is>
          <t>Assists</t>
        </is>
      </c>
      <c r="M2" s="1" t="inlineStr">
        <is>
          <t>Steals</t>
        </is>
      </c>
      <c r="N2" s="1" t="inlineStr">
        <is>
          <t>Blocks</t>
        </is>
      </c>
      <c r="O2" s="1" t="inlineStr">
        <is>
          <t>Turnovers</t>
        </is>
      </c>
      <c r="P2" s="1" t="inlineStr">
        <is>
          <t>Fouls</t>
        </is>
      </c>
      <c r="Q2" s="1" t="inlineStr">
        <is>
          <t>Total Points</t>
        </is>
      </c>
      <c r="R2" s="1" t="inlineStr">
        <is>
          <t>eFG%</t>
        </is>
      </c>
      <c r="S2" s="1" t="inlineStr">
        <is>
          <t>TS%</t>
        </is>
      </c>
      <c r="T2" s="1" t="inlineStr">
        <is>
          <t>AST/TO Ratio</t>
        </is>
      </c>
      <c r="U2" s="1" t="inlineStr">
        <is>
          <t>Stocks</t>
        </is>
      </c>
    </row>
    <row r="4">
      <c r="A4" s="1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>
        <f>(D4*2)+(F4*3)+H4</f>
        <v/>
      </c>
      <c r="R4">
        <f>IF((C4+E4)&gt;0, (D4+(1.5*F4))/(C4+E4), 0)</f>
        <v/>
      </c>
      <c r="S4">
        <f>IF(((2*(C4+E4))+(0.88*G4))&gt;0, P4/((2*(C4+E4))+(0.88*G4)), 0)</f>
        <v/>
      </c>
      <c r="T4">
        <f>IF(N4&gt;0, K4/N4, K4)</f>
        <v/>
      </c>
      <c r="U4">
        <f>L4+M4</f>
        <v/>
      </c>
    </row>
    <row r="5">
      <c r="A5" s="1" t="n">
        <v>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>
        <f>(D5*2)+(F5*3)+H5</f>
        <v/>
      </c>
      <c r="R5">
        <f>IF((C5+E5)&gt;0, (D5+(1.5*F5))/(C5+E5), 0)</f>
        <v/>
      </c>
      <c r="S5">
        <f>IF(((2*(C5+E5))+(0.88*G5))&gt;0, P5/((2*(C5+E5))+(0.88*G5)), 0)</f>
        <v/>
      </c>
      <c r="T5">
        <f>IF(N5&gt;0, K5/N5, K5)</f>
        <v/>
      </c>
      <c r="U5">
        <f>L5+M5</f>
        <v/>
      </c>
    </row>
    <row r="6">
      <c r="A6" s="1" t="n">
        <v>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>
        <f>(D6*2)+(F6*3)+H6</f>
        <v/>
      </c>
      <c r="R6">
        <f>IF((C6+E6)&gt;0, (D6+(1.5*F6))/(C6+E6), 0)</f>
        <v/>
      </c>
      <c r="S6">
        <f>IF(((2*(C6+E6))+(0.88*G6))&gt;0, P6/((2*(C6+E6))+(0.88*G6)), 0)</f>
        <v/>
      </c>
      <c r="T6">
        <f>IF(N6&gt;0, K6/N6, K6)</f>
        <v/>
      </c>
      <c r="U6">
        <f>L6+M6</f>
        <v/>
      </c>
    </row>
    <row r="7">
      <c r="A7" s="1" t="n">
        <v>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>
        <f>(D7*2)+(F7*3)+H7</f>
        <v/>
      </c>
      <c r="R7">
        <f>IF((C7+E7)&gt;0, (D7+(1.5*F7))/(C7+E7), 0)</f>
        <v/>
      </c>
      <c r="S7">
        <f>IF(((2*(C7+E7))+(0.88*G7))&gt;0, P7/((2*(C7+E7))+(0.88*G7)), 0)</f>
        <v/>
      </c>
      <c r="T7">
        <f>IF(N7&gt;0, K7/N7, K7)</f>
        <v/>
      </c>
      <c r="U7">
        <f>L7+M7</f>
        <v/>
      </c>
    </row>
    <row r="8">
      <c r="A8" s="1" t="n">
        <v>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>
        <f>(D8*2)+(F8*3)+H8</f>
        <v/>
      </c>
      <c r="R8">
        <f>IF((C8+E8)&gt;0, (D8+(1.5*F8))/(C8+E8), 0)</f>
        <v/>
      </c>
      <c r="S8">
        <f>IF(((2*(C8+E8))+(0.88*G8))&gt;0, P8/((2*(C8+E8))+(0.88*G8)), 0)</f>
        <v/>
      </c>
      <c r="T8">
        <f>IF(N8&gt;0, K8/N8, K8)</f>
        <v/>
      </c>
      <c r="U8">
        <f>L8+M8</f>
        <v/>
      </c>
    </row>
    <row r="9">
      <c r="A9" s="1" t="n">
        <v>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>
        <f>(D9*2)+(F9*3)+H9</f>
        <v/>
      </c>
      <c r="R9">
        <f>IF((C9+E9)&gt;0, (D9+(1.5*F9))/(C9+E9), 0)</f>
        <v/>
      </c>
      <c r="S9">
        <f>IF(((2*(C9+E9))+(0.88*G9))&gt;0, P9/((2*(C9+E9))+(0.88*G9)), 0)</f>
        <v/>
      </c>
      <c r="T9">
        <f>IF(N9&gt;0, K9/N9, K9)</f>
        <v/>
      </c>
      <c r="U9">
        <f>L9+M9</f>
        <v/>
      </c>
    </row>
    <row r="10">
      <c r="A10" s="1" t="n">
        <v>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>
        <f>(D10*2)+(F10*3)+H10</f>
        <v/>
      </c>
      <c r="R10">
        <f>IF((C10+E10)&gt;0, (D10+(1.5*F10))/(C10+E10), 0)</f>
        <v/>
      </c>
      <c r="S10">
        <f>IF(((2*(C10+E10))+(0.88*G10))&gt;0, P10/((2*(C10+E10))+(0.88*G10)), 0)</f>
        <v/>
      </c>
      <c r="T10">
        <f>IF(N10&gt;0, K10/N10, K10)</f>
        <v/>
      </c>
      <c r="U10">
        <f>L10+M10</f>
        <v/>
      </c>
    </row>
    <row r="11">
      <c r="A11" s="1" t="n">
        <v>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>
        <f>(D11*2)+(F11*3)+H11</f>
        <v/>
      </c>
      <c r="R11">
        <f>IF((C11+E11)&gt;0, (D11+(1.5*F11))/(C11+E11), 0)</f>
        <v/>
      </c>
      <c r="S11">
        <f>IF(((2*(C11+E11))+(0.88*G11))&gt;0, P11/((2*(C11+E11))+(0.88*G11)), 0)</f>
        <v/>
      </c>
      <c r="T11">
        <f>IF(N11&gt;0, K11/N11, K11)</f>
        <v/>
      </c>
      <c r="U11">
        <f>L11+M11</f>
        <v/>
      </c>
    </row>
    <row r="12">
      <c r="A12" s="1" t="n">
        <v>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>
        <f>(D12*2)+(F12*3)+H12</f>
        <v/>
      </c>
      <c r="R12">
        <f>IF((C12+E12)&gt;0, (D12+(1.5*F12))/(C12+E12), 0)</f>
        <v/>
      </c>
      <c r="S12">
        <f>IF(((2*(C12+E12))+(0.88*G12))&gt;0, P12/((2*(C12+E12))+(0.88*G12)), 0)</f>
        <v/>
      </c>
      <c r="T12">
        <f>IF(N12&gt;0, K12/N12, K12)</f>
        <v/>
      </c>
      <c r="U12">
        <f>L12+M12</f>
        <v/>
      </c>
    </row>
    <row r="13">
      <c r="A13" s="1" t="n">
        <v>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>
        <f>(D13*2)+(F13*3)+H13</f>
        <v/>
      </c>
      <c r="R13">
        <f>IF((C13+E13)&gt;0, (D13+(1.5*F13))/(C13+E13), 0)</f>
        <v/>
      </c>
      <c r="S13">
        <f>IF(((2*(C13+E13))+(0.88*G13))&gt;0, P13/((2*(C13+E13))+(0.88*G13)), 0)</f>
        <v/>
      </c>
      <c r="T13">
        <f>IF(N13&gt;0, K13/N13, K13)</f>
        <v/>
      </c>
      <c r="U13">
        <f>L13+M13</f>
        <v/>
      </c>
    </row>
    <row r="14">
      <c r="A14" s="1" t="n">
        <v>10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>
        <f>(D14*2)+(F14*3)+H14</f>
        <v/>
      </c>
      <c r="R14">
        <f>IF((C14+E14)&gt;0, (D14+(1.5*F14))/(C14+E14), 0)</f>
        <v/>
      </c>
      <c r="S14">
        <f>IF(((2*(C14+E14))+(0.88*G14))&gt;0, P14/((2*(C14+E14))+(0.88*G14)), 0)</f>
        <v/>
      </c>
      <c r="T14">
        <f>IF(N14&gt;0, K14/N14, K14)</f>
        <v/>
      </c>
      <c r="U14">
        <f>L14+M14</f>
        <v/>
      </c>
    </row>
    <row r="15">
      <c r="A15" s="1" t="n">
        <v>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>
        <f>(D15*2)+(F15*3)+H15</f>
        <v/>
      </c>
      <c r="R15">
        <f>IF((C15+E15)&gt;0, (D15+(1.5*F15))/(C15+E15), 0)</f>
        <v/>
      </c>
      <c r="S15">
        <f>IF(((2*(C15+E15))+(0.88*G15))&gt;0, P15/((2*(C15+E15))+(0.88*G15)), 0)</f>
        <v/>
      </c>
      <c r="T15">
        <f>IF(N15&gt;0, K15/N15, K15)</f>
        <v/>
      </c>
      <c r="U15">
        <f>L15+M15</f>
        <v/>
      </c>
    </row>
    <row r="16">
      <c r="A16" s="1" t="n">
        <v>12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>
        <f>(D16*2)+(F16*3)+H16</f>
        <v/>
      </c>
      <c r="R16">
        <f>IF((C16+E16)&gt;0, (D16+(1.5*F16))/(C16+E16), 0)</f>
        <v/>
      </c>
      <c r="S16">
        <f>IF(((2*(C16+E16))+(0.88*G16))&gt;0, P16/((2*(C16+E16))+(0.88*G16)), 0)</f>
        <v/>
      </c>
      <c r="T16">
        <f>IF(N16&gt;0, K16/N16, K16)</f>
        <v/>
      </c>
      <c r="U16">
        <f>L16+M16</f>
        <v/>
      </c>
    </row>
    <row r="17">
      <c r="A17" s="1" t="n">
        <v>13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>
        <f>(D17*2)+(F17*3)+H17</f>
        <v/>
      </c>
      <c r="R17">
        <f>IF((C17+E17)&gt;0, (D17+(1.5*F17))/(C17+E17), 0)</f>
        <v/>
      </c>
      <c r="S17">
        <f>IF(((2*(C17+E17))+(0.88*G17))&gt;0, P17/((2*(C17+E17))+(0.88*G17)), 0)</f>
        <v/>
      </c>
      <c r="T17">
        <f>IF(N17&gt;0, K17/N17, K17)</f>
        <v/>
      </c>
      <c r="U17">
        <f>L17+M17</f>
        <v/>
      </c>
    </row>
    <row r="18">
      <c r="A18" s="1" t="n">
        <v>14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>
        <f>(D18*2)+(F18*3)+H18</f>
        <v/>
      </c>
      <c r="R18">
        <f>IF((C18+E18)&gt;0, (D18+(1.5*F18))/(C18+E18), 0)</f>
        <v/>
      </c>
      <c r="S18">
        <f>IF(((2*(C18+E18))+(0.88*G18))&gt;0, P18/((2*(C18+E18))+(0.88*G18)), 0)</f>
        <v/>
      </c>
      <c r="T18">
        <f>IF(N18&gt;0, K18/N18, K18)</f>
        <v/>
      </c>
      <c r="U18">
        <f>L18+M18</f>
        <v/>
      </c>
    </row>
    <row r="19">
      <c r="A19" s="1" t="n">
        <v>15</v>
      </c>
      <c r="B19" t="inlineStr">
        <is>
          <t>Team Totals:</t>
        </is>
      </c>
      <c r="C19" t="inlineStr"/>
      <c r="D19">
        <f>SUM(C4:C18)</f>
        <v/>
      </c>
      <c r="E19">
        <f>SUM(D4:D18)</f>
        <v/>
      </c>
      <c r="F19">
        <f>SUM(E4:E18)</f>
        <v/>
      </c>
      <c r="G19">
        <f>SUM(F4:F18)</f>
        <v/>
      </c>
      <c r="H19">
        <f>SUM(G4:G18)</f>
        <v/>
      </c>
      <c r="I19">
        <f>SUM(H4:H18)</f>
        <v/>
      </c>
      <c r="J19">
        <f>SUM(I4:I18)</f>
        <v/>
      </c>
      <c r="K19">
        <f>SUM(J4:J18)</f>
        <v/>
      </c>
      <c r="L19">
        <f>SUM(K4:K18)</f>
        <v/>
      </c>
      <c r="M19">
        <f>SUM(L4:L18)</f>
        <v/>
      </c>
      <c r="N19">
        <f>SUM(M4:M18)</f>
        <v/>
      </c>
      <c r="O19">
        <f>SUM(N4:N18)</f>
        <v/>
      </c>
      <c r="P19">
        <f>SUM(O4:O18)</f>
        <v/>
      </c>
      <c r="Q19">
        <f>SUM(P4:P18)</f>
        <v/>
      </c>
      <c r="R19">
        <f>AVERAGE(Q4:Q18)</f>
        <v/>
      </c>
      <c r="S19">
        <f>AVERAGE(R4:R18)</f>
        <v/>
      </c>
      <c r="T19">
        <f>IF(N19&gt;0, K19/N19, K19)</f>
        <v/>
      </c>
      <c r="U19">
        <f>L19+M19</f>
        <v/>
      </c>
    </row>
  </sheetData>
  <mergeCells count="7">
    <mergeCell ref="D1:E1"/>
    <mergeCell ref="Q1:U1"/>
    <mergeCell ref="L1:P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2026-07-13T18:57:43Z</dcterms:created>
  <dcterms:modified xsi:type="dcterms:W3CDTF">2026-07-13T18:57:43Z</dcterms:modified>
</cp:coreProperties>
</file>